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1a46cadf5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f095819f7364840"/>
    <x:sheet xmlns:r="http://schemas.openxmlformats.org/officeDocument/2006/relationships" name="Ratios" sheetId="2" r:id="R16fceb5e428a4c4e"/>
    <x:sheet xmlns:r="http://schemas.openxmlformats.org/officeDocument/2006/relationships" name="Credit View" sheetId="3" r:id="R4dc13077cc1b40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[Red](#,##0.0);-"/>
    <x:numFmt numFmtId="201" formatCode="0.0%"/>
    <x:numFmt numFmtId="202" formatCode="0.00x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770cee9834f8a" /><Relationship Type="http://schemas.openxmlformats.org/officeDocument/2006/relationships/theme" Target="/xl/theme/theme1.xml" Id="Rfa50cb0cfda3468c" /><Relationship Type="http://schemas.openxmlformats.org/officeDocument/2006/relationships/sharedStrings" Target="/xl/sharedStrings.xml" Id="Rdfff0d5f4ab04f31" /><Relationship Type="http://schemas.openxmlformats.org/officeDocument/2006/relationships/worksheet" Target="/xl/worksheets/sheet1.xml" Id="R8f095819f7364840" /><Relationship Type="http://schemas.openxmlformats.org/officeDocument/2006/relationships/worksheet" Target="/xl/worksheets/sheet2.xml" Id="R16fceb5e428a4c4e" /><Relationship Type="http://schemas.openxmlformats.org/officeDocument/2006/relationships/worksheet" Target="/xl/worksheets/sheet3.xml" Id="R4dc13077cc1b40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8960363ab648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NPAT trend (VND bn)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'Ratios'!$J$4:$J$6</c:f>
              <c:strCache>
                <c:ptCount val="0"/>
              </c:strCache>
            </c:strRef>
          </c:cat>
          <c:val>
            <c:numRef>
              <c:f>'Ratios'!$K$4:$K$6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NPAT</c:v>
          </c:tx>
          <c:marker>
            <c:symbol val="none"/>
          </c:marker>
          <c:cat>
            <c:strRef>
              <c:f>'Ratios'!$J$4:$J$6</c:f>
              <c:strCache>
                <c:ptCount val="0"/>
              </c:strCache>
            </c:strRef>
          </c:cat>
          <c:val>
            <c:numRef>
              <c:f>'Ratios'!$L$4:$L$6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8960363ab648a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88b89caa3ed416b" /></Relationships>
</file>

<file path=xl/worksheets/sheet1.xml><?xml version="1.0" encoding="utf-8"?>
<x:worksheet xmlns:x="http://schemas.openxmlformats.org/spreadsheetml/2006/main">
  <x:sheetFormatPr defaultRowHeight="15"/>
  <x:cols>
    <x:col min="1" max="1" width="51.130001068115234" hidden="0" customWidth="1"/>
    <x:col min="2" max="2" width="92.25" hidden="0" customWidth="1"/>
    <x:col min="3" max="3" width="11.880000114440918" hidden="0" customWidth="1"/>
    <x:col min="4" max="4" width="19" hidden="0" customWidth="1"/>
    <x:col min="5" max="5" width="16.8799991607666" hidden="0" customWidth="1"/>
    <x:col min="6" max="6" width="11.5" hidden="0" customWidth="1"/>
    <x:col min="7" max="7" width="26" hidden="0" customWidth="1"/>
    <x:col min="8" max="8" width="16.8799991607666" hidden="0" customWidth="1"/>
    <x:col min="9" max="9" width="15.25" hidden="0" customWidth="1"/>
    <x:col min="10" max="10" width="21.25" hidden="0" customWidth="1"/>
    <x:col min="11" max="11" width="19.25" hidden="0" customWidth="1"/>
    <x:col min="12" max="12" width="20.3799991607666" hidden="0" customWidth="1"/>
    <x:col min="13" max="13" width="19.8799991607666" hidden="0" customWidth="1"/>
    <x:col min="14" max="14" width="12.75" hidden="0" customWidth="1"/>
    <x:col min="15" max="15" width="11" hidden="0" customWidth="1"/>
    <x:col min="16" max="16" width="20.5" hidden="0" customWidth="1"/>
    <x:col min="17" max="17" width="38" hidden="0" customWidth="1"/>
  </x:cols>
  <x:sheetData>
    <x:row r="1">
      <x:c r="A1" s="3" t="str">
        <x:v>MWG Corporate Credit Case - Public Financial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>
      <x:c r="A3" s="10" t="str">
        <x:v>Year</x:v>
      </x:c>
      <x:c r="B3" s="10" t="str">
        <x:v>Revenue (VND bn)</x:v>
      </x:c>
      <x:c r="C3" s="10" t="str">
        <x:v>NPAT (VND bn)</x:v>
      </x:c>
      <x:c r="D3" s="10" t="str">
        <x:v>Current Assets (VND bn)</x:v>
      </x:c>
      <x:c r="E3" s="10" t="str">
        <x:v>Total Assets (VND bn)</x:v>
      </x:c>
      <x:c r="F3" s="10" t="str">
        <x:v>Cash (VND bn)</x:v>
      </x:c>
      <x:c r="G3" s="10" t="str">
        <x:v>Short-term Investments (VND bn)</x:v>
      </x:c>
      <x:c r="H3" s="10" t="str">
        <x:v>Receivables (VND bn)</x:v>
      </x:c>
      <x:c r="I3" s="10" t="str">
        <x:v>Inventory (VND bn)</x:v>
      </x:c>
      <x:c r="J3" s="10" t="str">
        <x:v>Current Liabilities (VND bn)</x:v>
      </x:c>
      <x:c r="K3" s="10" t="str">
        <x:v>Total Liabilities (VND bn)</x:v>
      </x:c>
      <x:c r="L3" s="10" t="str">
        <x:v>Short-term Debt (VND bn)</x:v>
      </x:c>
      <x:c r="M3" s="10" t="str">
        <x:v>Long-term Debt (VND bn)</x:v>
      </x:c>
      <x:c r="N3" s="10" t="str">
        <x:v>Equity (VND bn)</x:v>
      </x:c>
      <x:c r="O3" s="10" t="str">
        <x:v>CFO (VND bn)</x:v>
      </x:c>
      <x:c r="P3" s="10" t="str">
        <x:v>Interest Expense (VND bn)</x:v>
      </x:c>
      <x:c r="Q3" s="10" t="str">
        <x:v>Source / Note</x:v>
      </x:c>
    </x:row>
    <x:row r="4">
      <x:c r="A4" s="12" t="n">
        <x:v>2023</x:v>
      </x:c>
      <x:c r="B4" s="16" t="n">
        <x:v>118280</x:v>
      </x:c>
      <x:c r="C4" s="16" t="n">
        <x:v>168</x:v>
      </x:c>
      <x:c r="D4" s="16" t="n">
        <x:v>51950.3</x:v>
      </x:c>
      <x:c r="E4" s="16" t="n">
        <x:v>60108</x:v>
      </x:c>
      <x:c r="F4" s="16" t="n">
        <x:v>5365.7</x:v>
      </x:c>
      <x:c r="G4" s="16" t="n">
        <x:v>18937</x:v>
      </x:c>
      <x:c r="H4" s="16" t="n">
        <x:v>5158.9</x:v>
      </x:c>
      <x:c r="I4" s="16" t="n">
        <x:v>21824.2</x:v>
      </x:c>
      <x:c r="J4" s="16" t="n">
        <x:v>30765.3</x:v>
      </x:c>
      <x:c r="K4" s="16" t="n">
        <x:v>36751.7</x:v>
      </x:c>
      <x:c r="L4" s="16" t="n">
        <x:v>19496.2</x:v>
      </x:c>
      <x:c r="M4" s="16" t="n">
        <x:v>5985.3</x:v>
      </x:c>
      <x:c r="N4" s="16" t="n">
        <x:v>23356.3</x:v>
      </x:c>
      <x:c r="O4" s="16" t="n">
        <x:v>3440</x:v>
      </x:c>
      <x:c r="P4" s="16" t="n">
        <x:v>1448</x:v>
      </x:c>
      <x:c r="Q4" s="18" t="str">
        <x:v>MWG 2024 AR comparative figures; historical line items cross-checked with iShareInvest</x:v>
      </x:c>
    </x:row>
    <x:row r="5">
      <x:c r="A5" s="12" t="n">
        <x:v>2024</x:v>
      </x:c>
      <x:c r="B5" s="16" t="n">
        <x:v>134341</x:v>
      </x:c>
      <x:c r="C5" s="16" t="n">
        <x:v>3733</x:v>
      </x:c>
      <x:c r="D5" s="16" t="n">
        <x:v>65836.4</x:v>
      </x:c>
      <x:c r="E5" s="16" t="n">
        <x:v>70436</x:v>
      </x:c>
      <x:c r="F5" s="16" t="n">
        <x:v>4897.3</x:v>
      </x:c>
      <x:c r="G5" s="16" t="n">
        <x:v>29324.4</x:v>
      </x:c>
      <x:c r="H5" s="16" t="n">
        <x:v>8825.9</x:v>
      </x:c>
      <x:c r="I5" s="16" t="n">
        <x:v>22244.7</x:v>
      </x:c>
      <x:c r="J5" s="16" t="n">
        <x:v>42316.2</x:v>
      </x:c>
      <x:c r="K5" s="16" t="n">
        <x:v>42316.2</x:v>
      </x:c>
      <x:c r="L5" s="16" t="n">
        <x:v>27300.2</x:v>
      </x:c>
      <x:c r="M5" s="16" t="n">
        <x:v>0</x:v>
      </x:c>
      <x:c r="N5" s="16" t="n">
        <x:v>28119.8</x:v>
      </x:c>
      <x:c r="O5" s="16" t="n">
        <x:v>8520</x:v>
      </x:c>
      <x:c r="P5" s="16" t="n">
        <x:v>1137.2</x:v>
      </x:c>
      <x:c r="Q5" s="18" t="str">
        <x:v>MWG Annual Report 2024 / 2025 comparative figures</x:v>
      </x:c>
    </x:row>
    <x:row r="6">
      <x:c r="A6" s="12" t="n">
        <x:v>2025</x:v>
      </x:c>
      <x:c r="B6" s="16" t="n">
        <x:v>155928</x:v>
      </x:c>
      <x:c r="C6" s="16" t="n">
        <x:v>7073</x:v>
      </x:c>
      <x:c r="D6" s="16" t="n">
        <x:v>77201.7</x:v>
      </x:c>
      <x:c r="E6" s="16" t="n">
        <x:v>83949</x:v>
      </x:c>
      <x:c r="F6" s="16" t="n">
        <x:v>4999.9</x:v>
      </x:c>
      <x:c r="G6" s="16" t="n">
        <x:v>33874.3</x:v>
      </x:c>
      <x:c r="H6" s="16" t="n">
        <x:v>10182.8</x:v>
      </x:c>
      <x:c r="I6" s="16" t="n">
        <x:v>27266.9</x:v>
      </x:c>
      <x:c r="J6" s="16" t="n">
        <x:v>50769.5</x:v>
      </x:c>
      <x:c r="K6" s="16" t="n">
        <x:v>50769.5</x:v>
      </x:c>
      <x:c r="L6" s="16" t="n">
        <x:v>29930.9</x:v>
      </x:c>
      <x:c r="M6" s="16" t="n">
        <x:v>0</x:v>
      </x:c>
      <x:c r="N6" s="16" t="n">
        <x:v>33179.5</x:v>
      </x:c>
      <x:c r="O6" s="16" t="n">
        <x:v>6100</x:v>
      </x:c>
      <x:c r="P6" s="16" t="n">
        <x:v>1470.7</x:v>
      </x:c>
      <x:c r="Q6" s="18" t="str">
        <x:v>MWG Annual Report 2025; MWG Investor Relations</x:v>
      </x:c>
    </x:row>
    <x:row r="8">
      <x:c r="A8" s="3" t="str">
        <x:v>Source URLs</x:v>
      </x:c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</x:row>
    <x:row r="9">
      <x:c r="A9" s="20" t="str">
        <x:v>MWG Investor Relations</x:v>
      </x:c>
      <x:c r="B9" s="14" t="str">
        <x:v>https://mwg.vn/</x:v>
      </x:c>
    </x:row>
    <x:row r="10">
      <x:c r="A10" s="20" t="str">
        <x:v>Annual Report 2025</x:v>
      </x:c>
      <x:c r="B10" s="14" t="str">
        <x:v>https://cdnv2.tgdd.vn/mwgvn/investorrelations/files/news/2026/3/2353/99/4b/994bc4902d35965c5e4013897d4f78f4.pdf</x:v>
      </x:c>
    </x:row>
    <x:row r="11">
      <x:c r="A11" s="20" t="str">
        <x:v>Annual Report 2024</x:v>
      </x:c>
      <x:c r="B11" s="14" t="str">
        <x:v>https://cdnv2.tgdd.vn/mwgvn/investorrelations/files/posts/2025/4/0/bd/b4/bdb4909af7f69858abb538dac47b2e76.pdf</x:v>
      </x:c>
    </x:row>
    <x:row r="12">
      <x:c r="A12" s="20" t="str">
        <x:v>Historical balance-sheet cross-check</x:v>
      </x:c>
      <x:c r="B12" s="14" t="str">
        <x:v>https://ishareinvest.com/vi/insights/stocks/mwg/bao-cao-tai-chinh/</x:v>
      </x:c>
    </x:row>
  </x:sheetData>
  <x:mergeCells>
    <x:mergeCell ref="A1:Q1"/>
    <x:mergeCell ref="A8:Q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.130000114440918" hidden="0" customWidth="1"/>
    <x:col min="3" max="3" width="7.25" hidden="0" customWidth="1"/>
    <x:col min="4" max="4" width="7.25" hidden="0" customWidth="1"/>
    <x:col min="6" max="6" width="31.1299991607666" hidden="0" customWidth="1"/>
    <x:col min="7" max="7" width="30" hidden="0" customWidth="1"/>
    <x:col min="8" max="8" width="1.3799999952316284" hidden="0" customWidth="1"/>
    <x:col min="10" max="10" width="4.25" hidden="0" customWidth="1"/>
    <x:col min="11" max="11" width="7" hidden="0" customWidth="1"/>
    <x:col min="12" max="12" width="4.380000114440918" hidden="0" customWidth="1"/>
  </x:cols>
  <x:sheetData>
    <x:row r="1">
      <x:c r="A1" s="3" t="str">
        <x:v>MWG - Simplified Credit Ratios</x:v>
      </x:c>
      <x:c r="B1" s="3"/>
      <x:c r="C1" s="3"/>
      <x:c r="D1" s="3"/>
    </x:row>
    <x:row r="3">
      <x:c r="A3" s="7" t="str">
        <x:v>Metric</x:v>
      </x:c>
      <x:c r="B3" s="7" t="str">
        <x:v>2023</x:v>
      </x:c>
      <x:c r="C3" s="7" t="str">
        <x:v>2024</x:v>
      </x:c>
      <x:c r="D3" s="7" t="str">
        <x:v>2025</x:v>
      </x:c>
      <x:c r="F3" s="3" t="str">
        <x:v>Illustrative Facility Assumptions</x:v>
      </x:c>
      <x:c r="G3" s="3"/>
      <x:c r="H3" s="3"/>
      <x:c r="J3" t="str">
        <x:v>Year</x:v>
      </x:c>
      <x:c r="K3" t="str">
        <x:v>Revenue</x:v>
      </x:c>
      <x:c r="L3" t="str">
        <x:v>NPAT</x:v>
      </x:c>
    </x:row>
    <x:row r="4">
      <x:c r="A4" t="str">
        <x:v>Revenue growth</x:v>
      </x:c>
      <x:c r="B4" s="22"/>
      <x:c r="C4" s="22" t="n">
        <x:f>(Inputs!B5/Inputs!B4)-1</x:f>
        <x:v>0.1357879607710517</x:v>
      </x:c>
      <x:c r="D4" s="22" t="n">
        <x:f>(Inputs!B6/Inputs!B5)-1</x:f>
        <x:v>0.16068809968661846</x:v>
      </x:c>
      <x:c r="F4" s="20" t="str">
        <x:v>Facility</x:v>
      </x:c>
      <x:c r="G4" s="12" t="str">
        <x:v>Revolving working-capital line</x:v>
      </x:c>
      <x:c r="H4" t="str"/>
      <x:c r="J4" t="n">
        <x:v>2023</x:v>
      </x:c>
      <x:c r="K4" t="n">
        <x:v>118280</x:v>
      </x:c>
      <x:c r="L4" t="n">
        <x:v>168</x:v>
      </x:c>
    </x:row>
    <x:row r="5">
      <x:c r="A5" t="str">
        <x:v>Net margin</x:v>
      </x:c>
      <x:c r="B5" s="22" t="n">
        <x:f>Inputs!C4/Inputs!B4</x:f>
        <x:v>0.0014203584714237404</x:v>
      </x:c>
      <x:c r="C5" s="22" t="n">
        <x:f>Inputs!C5/Inputs!B5</x:f>
        <x:v>0.027787495998987652</x:v>
      </x:c>
      <x:c r="D5" s="22" t="n">
        <x:f>Inputs!C6/Inputs!B6</x:f>
        <x:v>0.04536067928787645</x:v>
      </x:c>
      <x:c r="F5" s="20" t="str">
        <x:v>Amount (VND bn)</x:v>
      </x:c>
      <x:c r="G5" s="12" t="n">
        <x:v>1500</x:v>
      </x:c>
      <x:c r="H5" t="str"/>
      <x:c r="J5" t="n">
        <x:v>2024</x:v>
      </x:c>
      <x:c r="K5" t="n">
        <x:v>134341</x:v>
      </x:c>
      <x:c r="L5" t="n">
        <x:v>3733</x:v>
      </x:c>
    </x:row>
    <x:row r="6">
      <x:c r="A6" t="str">
        <x:v>Current ratio</x:v>
      </x:c>
      <x:c r="B6" s="24" t="n">
        <x:f>Inputs!D4/Inputs!J4</x:f>
        <x:v>1.688600468709878</x:v>
      </x:c>
      <x:c r="C6" s="24" t="n">
        <x:f>Inputs!D5/Inputs!J5</x:f>
        <x:v>1.5558202296047376</x:v>
      </x:c>
      <x:c r="D6" s="24" t="n">
        <x:f>Inputs!D6/Inputs!J6</x:f>
        <x:v>1.5206314814997193</x:v>
      </x:c>
      <x:c r="F6" s="20" t="str">
        <x:v>Tenor</x:v>
      </x:c>
      <x:c r="G6" s="12" t="str">
        <x:v>12 months</x:v>
      </x:c>
      <x:c r="H6" t="str"/>
      <x:c r="J6" t="n">
        <x:v>2025</x:v>
      </x:c>
      <x:c r="K6" t="n">
        <x:v>155928</x:v>
      </x:c>
      <x:c r="L6" t="n">
        <x:v>7073</x:v>
      </x:c>
    </x:row>
    <x:row r="7">
      <x:c r="A7" t="str">
        <x:v>Quick ratio</x:v>
      </x:c>
      <x:c r="B7" s="24" t="n">
        <x:f>(Inputs!F4+Inputs!G4+Inputs!H4)/Inputs!J4</x:f>
        <x:v>0.957624336508989</x:v>
      </x:c>
      <x:c r="C7" s="24" t="n">
        <x:f>(Inputs!F5+Inputs!G5+Inputs!H5)/Inputs!J5</x:f>
        <x:v>1.0172841606760534</x:v>
      </x:c>
      <x:c r="D7" s="24" t="n">
        <x:f>(Inputs!F6+Inputs!G6+Inputs!H6)/Inputs!J6</x:f>
        <x:v>0.9662691182698273</x:v>
      </x:c>
      <x:c r="F7" s="20" t="str">
        <x:v>Current ratio floor</x:v>
      </x:c>
      <x:c r="G7" s="28" t="n">
        <x:v>1.2</x:v>
      </x:c>
      <x:c r="H7" t="str">
        <x:v>x</x:v>
      </x:c>
    </x:row>
    <x:row r="8">
      <x:c r="A8" t="str">
        <x:v>Total debt / equity</x:v>
      </x:c>
      <x:c r="B8" s="24" t="n">
        <x:f>(Inputs!L4+Inputs!M4)/Inputs!N4</x:f>
        <x:v>1.0909904394103518</x:v>
      </x:c>
      <x:c r="C8" s="24" t="n">
        <x:f>(Inputs!L5+Inputs!M5)/Inputs!N5</x:f>
        <x:v>0.9708532777615773</x:v>
      </x:c>
      <x:c r="D8" s="24" t="n">
        <x:f>(Inputs!L6+Inputs!M6)/Inputs!N6</x:f>
        <x:v>0.9020901460239004</x:v>
      </x:c>
      <x:c r="F8" s="20" t="str">
        <x:v>Debt / equity ceiling</x:v>
      </x:c>
      <x:c r="G8" s="28" t="n">
        <x:v>1.5</x:v>
      </x:c>
      <x:c r="H8" t="str">
        <x:v>x</x:v>
      </x:c>
    </x:row>
    <x:row r="9">
      <x:c r="A9" t="str">
        <x:v>Net debt (VND bn)</x:v>
      </x:c>
      <x:c r="B9" s="26" t="n">
        <x:f>(Inputs!L4+Inputs!M4)-Inputs!F4-Inputs!G4</x:f>
        <x:v>1178.7999999999993</x:v>
      </x:c>
      <x:c r="C9" s="26" t="n">
        <x:f>(Inputs!L5+Inputs!M5)-Inputs!F5-Inputs!G5</x:f>
        <x:v>-6921.5</x:v>
      </x:c>
      <x:c r="D9" s="26" t="n">
        <x:f>(Inputs!L6+Inputs!M6)-Inputs!F6-Inputs!G6</x:f>
        <x:v>-8943.300000000003</x:v>
      </x:c>
      <x:c r="F9" s="20" t="str">
        <x:v>Primary repayment</x:v>
      </x:c>
      <x:c r="G9" s="12" t="str">
        <x:v>Operating cash flow / inventory conversion</x:v>
      </x:c>
      <x:c r="H9" t="str"/>
    </x:row>
    <x:row r="10">
      <x:c r="A10" t="str">
        <x:v>CFO / total debt</x:v>
      </x:c>
      <x:c r="B10" s="24" t="n">
        <x:f>Inputs!O4/(Inputs!L4+Inputs!M4)</x:f>
        <x:v>0.13499990188960617</x:v>
      </x:c>
      <x:c r="C10" s="24" t="n">
        <x:f>Inputs!O5/(Inputs!L5+Inputs!M5)</x:f>
        <x:v>0.31208562574633153</x:v>
      </x:c>
      <x:c r="D10" s="24" t="n">
        <x:f>Inputs!O6/(Inputs!L6+Inputs!M6)</x:f>
        <x:v>0.2038027590216131</x:v>
      </x:c>
    </x:row>
    <x:row r="11">
      <x:c r="A11" t="str">
        <x:v>CFO / interest expense</x:v>
      </x:c>
      <x:c r="B11" s="24" t="n">
        <x:f>Inputs!O4/Inputs!P4</x:f>
        <x:v>2.3756906077348066</x:v>
      </x:c>
      <x:c r="C11" s="24" t="n">
        <x:f>Inputs!O5/Inputs!P5</x:f>
        <x:v>7.492085824832922</x:v>
      </x:c>
      <x:c r="D11" s="24" t="n">
        <x:f>Inputs!O6/Inputs!P6</x:f>
        <x:v>4.1476847759570274</x:v>
      </x:c>
    </x:row>
    <x:row r="12">
      <x:c r="A12" t="str">
        <x:v>Inventory / revenue</x:v>
      </x:c>
      <x:c r="B12" s="22" t="n">
        <x:f>Inputs!I4/Inputs!B4</x:f>
        <x:v>0.18451301995265473</x:v>
      </x:c>
      <x:c r="C12" s="22" t="n">
        <x:f>Inputs!I5/Inputs!B5</x:f>
        <x:v>0.16558385005322276</x:v>
      </x:c>
      <x:c r="D12" s="22" t="n">
        <x:f>Inputs!I6/Inputs!B6</x:f>
        <x:v>0.17486852906469655</x:v>
      </x:c>
    </x:row>
  </x:sheetData>
  <x:mergeCells>
    <x:mergeCell ref="A1:D1"/>
    <x:mergeCell ref="F3:H3"/>
  </x:mergeCells>
  <x:pageMargins left="0.7" right="0.7" top="0.75" bottom="0.75" header="0.3" footer="0.3"/>
  <x:drawing xmlns:r="http://schemas.openxmlformats.org/officeDocument/2006/relationships" r:id="Rc88b89caa3ed416b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3" t="str">
        <x:v>MWG - Simplified Corporate Credit View</x:v>
      </x:c>
      <x:c r="B1" s="3"/>
      <x:c r="C1" s="3"/>
      <x:c r="D1" s="3"/>
      <x:c r="E1" s="3"/>
      <x:c r="F1" s="3"/>
      <x:c r="G1" s="3"/>
      <x:c r="H1" s="3"/>
    </x:row>
    <x:row r="3">
      <x:c r="A3" s="20" t="str">
        <x:v>Borrower</x:v>
      </x:c>
      <x:c r="B3" s="30" t="str">
        <x:v>Mobile World Investment Corporation (HOSE: MWG)</x:v>
      </x:c>
    </x:row>
    <x:row r="4">
      <x:c r="A4" s="20" t="str">
        <x:v>Purpose</x:v>
      </x:c>
      <x:c r="B4" s="30" t="str">
        <x:v>Educational working-capital credit case based only on public information</x:v>
      </x:c>
    </x:row>
    <x:row r="5">
      <x:c r="A5" s="20" t="str">
        <x:v>Period</x:v>
      </x:c>
      <x:c r="B5" s="30" t="str">
        <x:v>FY2023-FY2025</x:v>
      </x:c>
    </x:row>
    <x:row r="6">
      <x:c r="A6" s="20" t="str"/>
      <x:c r="B6" s="30" t="str"/>
    </x:row>
    <x:row r="7">
      <x:c r="A7" s="20" t="str">
        <x:v>Positive factors</x:v>
      </x:c>
      <x:c r="B7" s="30" t="str">
        <x:v>Profitability recovered strongly after 2023; positive operating cash flow; liquid assets exceed interest-bearing debt on the simplified 2025 view.</x:v>
      </x:c>
    </x:row>
    <x:row r="8">
      <x:c r="A8" s="20" t="str">
        <x:v>Key risks</x:v>
      </x:c>
      <x:c r="B8" s="30" t="str">
        <x:v>Inventory-heavy retail model, thin margins, reliance on short-term funding, and execution risk from expansion.</x:v>
      </x:c>
    </x:row>
    <x:row r="9">
      <x:c r="A9" s="20" t="str">
        <x:v>Illustrative facility</x:v>
      </x:c>
      <x:c r="B9" s="30" t="str">
        <x:v>VND 1,500bn 12-month revolving working-capital line.</x:v>
      </x:c>
    </x:row>
    <x:row r="10">
      <x:c r="A10" s="20" t="str">
        <x:v>Primary repayment</x:v>
      </x:c>
      <x:c r="B10" s="30" t="str">
        <x:v>Operating cash flow and cash conversion from inventory sales.</x:v>
      </x:c>
    </x:row>
    <x:row r="11">
      <x:c r="A11" s="20" t="str">
        <x:v>Monitoring</x:v>
      </x:c>
      <x:c r="B11" s="30" t="str">
        <x:v>Current ratio &gt; 1.2x; total debt/equity &lt; 1.5x; positive CFO; monitor inventory growth and liquidity.</x:v>
      </x:c>
    </x:row>
    <x:row r="12">
      <x:c r="A12" s="20" t="str">
        <x:v>Conclusion</x:v>
      </x:c>
      <x:c r="B12" s="30" t="str">
        <x:v>The public figures support a moderate short-term working-capital case, subject to normal bank due diligence and transaction-specific review.</x:v>
      </x:c>
    </x:row>
    <x:row r="13">
      <x:c r="A13" s="20" t="str"/>
      <x:c r="B13" s="30" t="str"/>
    </x:row>
    <x:row r="14">
      <x:c r="A14" s="32" t="str">
        <x:v>Important</x:v>
      </x:c>
      <x:c r="B14" s="34" t="str">
        <x:v>This is a student case study, not a Woori Bank model, credit approval, or investment recommendation.</x:v>
      </x:c>
    </x:row>
  </x:sheetData>
  <x:mergeCells>
    <x:mergeCell ref="A1:H1"/>
  </x:mergeCells>
  <x:pageMargins left="0.7" right="0.7" top="0.75" bottom="0.75" header="0.3" footer="0.3"/>
</x:worksheet>
</file>